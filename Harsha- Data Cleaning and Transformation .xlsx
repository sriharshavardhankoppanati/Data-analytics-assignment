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sta analyst task\Week3\Assignment\"/>
    </mc:Choice>
  </mc:AlternateContent>
  <xr:revisionPtr revIDLastSave="0" documentId="13_ncr:1_{C09BF257-3865-48A6-A42A-6F5DD9DABF71}" xr6:coauthVersionLast="36" xr6:coauthVersionMax="36" xr10:uidLastSave="{00000000-0000-0000-0000-000000000000}"/>
  <bookViews>
    <workbookView xWindow="0" yWindow="0" windowWidth="28800" windowHeight="13305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P24" i="2" l="1"/>
  <c r="P2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B30" i="2"/>
  <c r="D30" i="2" s="1"/>
  <c r="B31" i="2"/>
  <c r="D31" i="2" s="1"/>
  <c r="B32" i="2"/>
  <c r="D32" i="2" s="1"/>
  <c r="B33" i="2"/>
  <c r="D33" i="2" s="1"/>
  <c r="B34" i="2"/>
  <c r="D34" i="2" s="1"/>
  <c r="B35" i="2"/>
  <c r="D35" i="2" s="1"/>
  <c r="B2" i="2"/>
  <c r="D2" i="2" s="1"/>
</calcChain>
</file>

<file path=xl/sharedStrings.xml><?xml version="1.0" encoding="utf-8"?>
<sst xmlns="http://schemas.openxmlformats.org/spreadsheetml/2006/main" count="192" uniqueCount="145">
  <si>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</si>
  <si>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</si>
  <si>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</si>
  <si>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</si>
  <si>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</si>
  <si>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</si>
  <si>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</si>
  <si>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</si>
  <si>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</si>
  <si>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</si>
  <si>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</si>
  <si>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</si>
  <si>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</si>
  <si>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</si>
  <si>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</si>
  <si>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</si>
  <si>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</si>
  <si>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</si>
  <si>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</si>
  <si>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</si>
  <si>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</si>
  <si>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</si>
  <si>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</si>
  <si>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</si>
  <si>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</si>
  <si>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</si>
  <si>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</si>
  <si>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</si>
  <si>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</si>
  <si>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</si>
  <si>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</si>
  <si>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</si>
  <si>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</si>
  <si>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</si>
  <si>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</si>
  <si>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</si>
  <si>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</si>
  <si>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</si>
  <si>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</si>
  <si>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</si>
  <si>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</si>
  <si>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</si>
  <si>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</si>
  <si>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</si>
  <si>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</si>
  <si>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</si>
  <si>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</si>
  <si>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</si>
  <si>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</si>
  <si>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</si>
  <si>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</si>
  <si>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</si>
  <si>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</si>
  <si>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</si>
  <si>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</si>
  <si>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</si>
  <si>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</si>
  <si>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</si>
  <si>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</si>
  <si>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</si>
  <si>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</si>
  <si>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</si>
  <si>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</si>
  <si>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</si>
  <si>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</si>
  <si>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</si>
  <si>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</si>
  <si>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</si>
  <si>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</si>
  <si>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</si>
  <si>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</si>
  <si>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</si>
  <si>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</si>
  <si>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</si>
  <si>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</si>
  <si>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</si>
  <si>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</si>
  <si>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</si>
  <si>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</si>
  <si>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</si>
  <si>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</si>
  <si>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</si>
  <si>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</si>
  <si>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</si>
  <si>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</si>
  <si>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</si>
  <si>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</si>
  <si>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</si>
  <si>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</si>
  <si>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</si>
  <si>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</si>
  <si>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</si>
  <si>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</si>
  <si>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</si>
  <si>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</si>
  <si>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</si>
  <si>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</si>
  <si>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</si>
  <si>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</si>
  <si>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</si>
  <si>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</si>
  <si>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</si>
  <si>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</si>
  <si>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</si>
  <si>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</si>
  <si>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</si>
  <si>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</si>
  <si>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</si>
  <si>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</si>
  <si>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</si>
  <si>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</si>
  <si>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</si>
  <si>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</si>
  <si>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</si>
  <si>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</si>
  <si>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</si>
  <si>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Check for missing values in the 'Price' column. How would you handle products with missing price information?</t>
  </si>
  <si>
    <t xml:space="preserve">Step 1: Check if the product has a brand or category average available.
Step 2: If yes, fill with that average.
Step 3: If not, fill with the overall average of all products.
Step 4: Add a flag column to track which prices were imputed.
</t>
  </si>
  <si>
    <t>If there are products with missing categories, propose a strategy to impute or deal with these missing values effectively.</t>
  </si>
  <si>
    <t>If the Dell laptop were missing a category, I would:
Step 1: Check the Brand → Dell is known for Electronics → fill with Electronics.
Step 2: If brand info is also missing, check Product Name → "laptop" clearly indicates Electronics.
Step 3: If nothing works, fill with the most frequent category from the rest of the dataset.
Step 4: Add a flag column like Category_Imputed = Yes to track it.</t>
  </si>
  <si>
    <t xml:space="preserve"> Identify any inconsistent text formats present in the "Product Name" column.</t>
  </si>
  <si>
    <t>Yes, there are inconsistencies. The same products are written in different cases — 'laptop' vs 'Laptop', 'smartphone' vs 'Smartphone', and 'headphones' vs 'Headphones'. I would standardize all to Title Case for consistency."</t>
  </si>
  <si>
    <t>Identify any typos present in the "Category" column.</t>
  </si>
  <si>
    <t>Yes, there are typos in the 'Category' column. The word Electroni appears 4 times instead of the correct spelling Electronics (missing 'cs'). I would correct all instances of Electroni to Electronics for consistency.</t>
  </si>
  <si>
    <t>Identify any duplicate rows within the dataset based on the entirety of each row, and remove them if any.</t>
  </si>
  <si>
    <t>Yes, there are duplicate rows in the dataset based on the entirety of each row. Specifically, 3 duplicate pairs (6 rows total) were found: Product ID 17-JUN-IN (HP Laptop) appears twice, Product ID 21-AUG-CA (Laptop Bag) appears twice, and Product ID 16-APR-ES (headphones) appears twice. In all these cases, every column — including Product ID, Product Name, Brand Name, Price, Quantity, and Category — is an exact match. To clean the dataset, I would remove the duplicate rows and keep only one unique instance of each Product ID to ensure data integrity and avoid skewed analysis.</t>
  </si>
  <si>
    <t>Manufacturing Date</t>
  </si>
  <si>
    <t>Country Code</t>
  </si>
  <si>
    <t>I have done in Column B and Column C</t>
  </si>
  <si>
    <t>Function</t>
  </si>
  <si>
    <t>Formula</t>
  </si>
  <si>
    <t>for Manufacturing Date I have used the Left function</t>
  </si>
  <si>
    <t>LEFT</t>
  </si>
  <si>
    <t>for Country Code I have used the Right  function</t>
  </si>
  <si>
    <t>RIGHT</t>
  </si>
  <si>
    <t xml:space="preserve">Format the data type of the "Price" column to currency format. </t>
  </si>
  <si>
    <t xml:space="preserve">Format the "Manufacturing Date" column to display dates in the "DD-MM-YYYY " format. </t>
  </si>
  <si>
    <t>Modified manufacturing date</t>
  </si>
  <si>
    <t>Upadated in G Column</t>
  </si>
  <si>
    <t>Apply data bar or color scales conditional formatting in the "Price" column.</t>
  </si>
  <si>
    <t>Updated in G Column</t>
  </si>
  <si>
    <t>Updated in D Column</t>
  </si>
  <si>
    <t>Questions</t>
  </si>
  <si>
    <t>Answers</t>
  </si>
  <si>
    <t>Split the "Product ID" column into two separate columns for " Manufacturing Date" and "Country Code". Remove unnecessary characters, if 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</si>
</sst>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F1115"/>
      <name val="Consolas"/>
      <family val="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169" fontId="7" fillId="2" borderId="0" xfId="0" applyNumberFormat="1" applyFont="1" applyFill="1" applyAlignment="1">
      <alignment horizontal="center"/>
    </xf>
    <xf numFmtId="169" fontId="5" fillId="0" borderId="0" xfId="0" applyNumberFormat="1" applyFont="1"/>
    <xf numFmtId="169" fontId="5" fillId="3" borderId="0" xfId="0" applyNumberFormat="1" applyFont="1" applyFill="1"/>
    <xf numFmtId="169" fontId="0" fillId="0" borderId="0" xfId="0" applyNumberFormat="1" applyFont="1" applyAlignment="1"/>
    <xf numFmtId="0" fontId="14" fillId="5" borderId="1" xfId="0" applyFont="1" applyFill="1" applyBorder="1" applyAlignment="1">
      <alignment wrapText="1"/>
    </xf>
    <xf numFmtId="0" fontId="14" fillId="5" borderId="1" xfId="0" applyFont="1" applyFill="1" applyBorder="1" applyAlignment="1"/>
    <xf numFmtId="0" fontId="13" fillId="4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9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0" fontId="10" fillId="0" borderId="1" xfId="0" applyFont="1" applyBorder="1" applyAlignment="1"/>
    <xf numFmtId="0" fontId="0" fillId="0" borderId="0" xfId="0" applyFont="1" applyFill="1" applyBorder="1" applyAlignment="1"/>
    <xf numFmtId="169" fontId="0" fillId="0" borderId="0" xfId="0" applyNumberFormat="1" applyFont="1" applyFill="1" applyBorder="1" applyAlignment="1"/>
    <xf numFmtId="0" fontId="13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13" fillId="4" borderId="2" xfId="0" applyFont="1" applyFill="1" applyBorder="1" applyAlignment="1">
      <alignment horizontal="center" wrapText="1"/>
    </xf>
    <xf numFmtId="0" fontId="13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16" sqref="C1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16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1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16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16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1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16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16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9"/>
  <sheetViews>
    <sheetView tabSelected="1" topLeftCell="A25" zoomScaleNormal="100" workbookViewId="0">
      <selection activeCell="N26" sqref="N26"/>
    </sheetView>
  </sheetViews>
  <sheetFormatPr defaultColWidth="12.5703125" defaultRowHeight="15" customHeight="1" x14ac:dyDescent="0.2"/>
  <cols>
    <col min="1" max="1" width="12.5703125" customWidth="1"/>
    <col min="2" max="2" width="20.28515625" customWidth="1"/>
    <col min="3" max="3" width="19.5703125" customWidth="1"/>
    <col min="4" max="4" width="27.7109375" bestFit="1" customWidth="1"/>
    <col min="5" max="5" width="14" customWidth="1"/>
    <col min="6" max="6" width="12.5703125" customWidth="1"/>
    <col min="7" max="7" width="12.5703125" style="20" customWidth="1"/>
    <col min="8" max="9" width="12.5703125" customWidth="1"/>
    <col min="13" max="13" width="56.42578125" style="12" customWidth="1"/>
    <col min="14" max="14" width="79.85546875" style="12" customWidth="1"/>
  </cols>
  <sheetData>
    <row r="1" spans="1:16" ht="15.75" customHeight="1" x14ac:dyDescent="0.2">
      <c r="A1" s="13" t="s">
        <v>19</v>
      </c>
      <c r="B1" s="13" t="s">
        <v>126</v>
      </c>
      <c r="C1" s="13" t="s">
        <v>127</v>
      </c>
      <c r="D1" s="13" t="s">
        <v>137</v>
      </c>
      <c r="E1" s="9" t="s">
        <v>20</v>
      </c>
      <c r="F1" s="9" t="s">
        <v>21</v>
      </c>
      <c r="G1" s="17" t="s">
        <v>22</v>
      </c>
      <c r="H1" s="9" t="s">
        <v>23</v>
      </c>
      <c r="I1" s="9" t="s">
        <v>24</v>
      </c>
      <c r="M1" s="21" t="s">
        <v>142</v>
      </c>
      <c r="N1" s="21" t="s">
        <v>143</v>
      </c>
      <c r="O1" s="22" t="s">
        <v>129</v>
      </c>
      <c r="P1" s="22" t="s">
        <v>130</v>
      </c>
    </row>
    <row r="2" spans="1:16" ht="15.75" customHeight="1" x14ac:dyDescent="0.2">
      <c r="A2" s="10" t="s">
        <v>25</v>
      </c>
      <c r="B2" s="14" t="str">
        <f>LEFT(A2, LEN(A2)-3)</f>
        <v>28-JAN</v>
      </c>
      <c r="C2" s="14" t="str">
        <f>RIGHT(A2, 2)</f>
        <v>US</v>
      </c>
      <c r="D2" s="14" t="str">
        <f>TEXT(DATEVALUE(B2 &amp; "-2026"), "DD-MM-YYYY")</f>
        <v>28-01-2026</v>
      </c>
      <c r="E2" s="10" t="s">
        <v>26</v>
      </c>
      <c r="F2" s="10" t="s">
        <v>27</v>
      </c>
      <c r="G2" s="18">
        <v>1000</v>
      </c>
      <c r="H2" s="10">
        <v>30</v>
      </c>
      <c r="I2" s="10" t="s">
        <v>28</v>
      </c>
      <c r="M2" s="23" t="s">
        <v>1</v>
      </c>
      <c r="N2" s="24"/>
      <c r="O2" s="25"/>
      <c r="P2" s="25"/>
    </row>
    <row r="3" spans="1:16" ht="15.75" customHeight="1" x14ac:dyDescent="0.2">
      <c r="A3" s="11" t="s">
        <v>29</v>
      </c>
      <c r="B3" s="14" t="str">
        <f t="shared" ref="B3:B35" si="0">LEFT(A3, LEN(A3)-3)</f>
        <v>15-FEB</v>
      </c>
      <c r="C3" s="14" t="str">
        <f t="shared" ref="C3:C35" si="1">RIGHT(A3, 2)</f>
        <v>US</v>
      </c>
      <c r="D3" s="14" t="str">
        <f t="shared" ref="D3:D35" si="2">TEXT(DATEVALUE(B3 &amp; "-2026"), "DD-MM-YYYY")</f>
        <v>15-02-2026</v>
      </c>
      <c r="E3" s="11" t="s">
        <v>30</v>
      </c>
      <c r="F3" s="11" t="s">
        <v>31</v>
      </c>
      <c r="G3" s="19">
        <v>80</v>
      </c>
      <c r="H3" s="11">
        <v>15</v>
      </c>
      <c r="I3" s="11" t="s">
        <v>32</v>
      </c>
      <c r="M3" s="26"/>
      <c r="N3" s="27"/>
      <c r="O3" s="25"/>
      <c r="P3" s="25"/>
    </row>
    <row r="4" spans="1:16" ht="129" customHeight="1" x14ac:dyDescent="0.2">
      <c r="A4" s="10" t="s">
        <v>33</v>
      </c>
      <c r="B4" s="14" t="str">
        <f t="shared" si="0"/>
        <v>03-MAR</v>
      </c>
      <c r="C4" s="14" t="str">
        <f t="shared" si="1"/>
        <v>US</v>
      </c>
      <c r="D4" s="14" t="str">
        <f t="shared" si="2"/>
        <v>03-03-2026</v>
      </c>
      <c r="E4" s="10" t="s">
        <v>34</v>
      </c>
      <c r="F4" s="10" t="s">
        <v>35</v>
      </c>
      <c r="G4" s="18">
        <v>130</v>
      </c>
      <c r="H4" s="10">
        <v>40</v>
      </c>
      <c r="I4" s="10" t="s">
        <v>36</v>
      </c>
      <c r="M4" s="26" t="s">
        <v>116</v>
      </c>
      <c r="N4" s="27" t="s">
        <v>117</v>
      </c>
      <c r="O4" s="25"/>
      <c r="P4" s="25"/>
    </row>
    <row r="5" spans="1:16" ht="15.75" customHeight="1" x14ac:dyDescent="0.2">
      <c r="A5" s="11" t="s">
        <v>37</v>
      </c>
      <c r="B5" s="14" t="str">
        <f t="shared" si="0"/>
        <v>11-APR</v>
      </c>
      <c r="C5" s="14" t="str">
        <f t="shared" si="1"/>
        <v>US</v>
      </c>
      <c r="D5" s="14" t="str">
        <f t="shared" si="2"/>
        <v>11-04-2026</v>
      </c>
      <c r="E5" s="11" t="s">
        <v>38</v>
      </c>
      <c r="F5" s="11" t="s">
        <v>39</v>
      </c>
      <c r="G5" s="19">
        <v>900</v>
      </c>
      <c r="H5" s="11">
        <v>25</v>
      </c>
      <c r="I5" s="11" t="s">
        <v>28</v>
      </c>
      <c r="M5" s="26"/>
      <c r="N5" s="27"/>
      <c r="O5" s="25"/>
      <c r="P5" s="25"/>
    </row>
    <row r="6" spans="1:16" ht="183" customHeight="1" x14ac:dyDescent="0.2">
      <c r="A6" s="10" t="s">
        <v>40</v>
      </c>
      <c r="B6" s="14" t="str">
        <f t="shared" si="0"/>
        <v>22-MAY</v>
      </c>
      <c r="C6" s="14" t="str">
        <f t="shared" si="1"/>
        <v>US</v>
      </c>
      <c r="D6" s="14" t="str">
        <f t="shared" si="2"/>
        <v>22-05-2026</v>
      </c>
      <c r="E6" s="10" t="s">
        <v>41</v>
      </c>
      <c r="F6" s="10" t="s">
        <v>42</v>
      </c>
      <c r="G6" s="18">
        <v>70</v>
      </c>
      <c r="H6" s="10">
        <v>20</v>
      </c>
      <c r="I6" s="10"/>
      <c r="M6" s="23" t="s">
        <v>118</v>
      </c>
      <c r="N6" s="24" t="s">
        <v>119</v>
      </c>
      <c r="O6" s="25"/>
      <c r="P6" s="25"/>
    </row>
    <row r="7" spans="1:16" ht="15.75" customHeight="1" x14ac:dyDescent="0.2">
      <c r="A7" s="11" t="s">
        <v>43</v>
      </c>
      <c r="B7" s="14" t="str">
        <f t="shared" si="0"/>
        <v>07-JUN</v>
      </c>
      <c r="C7" s="14" t="str">
        <f t="shared" si="1"/>
        <v>UK</v>
      </c>
      <c r="D7" s="14" t="str">
        <f t="shared" si="2"/>
        <v>07-06-2026</v>
      </c>
      <c r="E7" s="11" t="s">
        <v>44</v>
      </c>
      <c r="F7" s="11" t="s">
        <v>45</v>
      </c>
      <c r="G7" s="19"/>
      <c r="H7" s="11">
        <v>45</v>
      </c>
      <c r="I7" s="11" t="s">
        <v>46</v>
      </c>
      <c r="M7" s="23"/>
      <c r="N7" s="24"/>
      <c r="O7" s="25"/>
      <c r="P7" s="25"/>
    </row>
    <row r="8" spans="1:16" ht="15.75" customHeight="1" x14ac:dyDescent="0.2">
      <c r="A8" s="10" t="s">
        <v>47</v>
      </c>
      <c r="B8" s="14" t="str">
        <f t="shared" si="0"/>
        <v>19-JUL</v>
      </c>
      <c r="C8" s="14" t="str">
        <f t="shared" si="1"/>
        <v>UK</v>
      </c>
      <c r="D8" s="14" t="str">
        <f t="shared" si="2"/>
        <v>19-07-2026</v>
      </c>
      <c r="E8" s="10" t="s">
        <v>48</v>
      </c>
      <c r="F8" s="10" t="s">
        <v>49</v>
      </c>
      <c r="G8" s="18">
        <v>30</v>
      </c>
      <c r="H8" s="10">
        <v>5</v>
      </c>
      <c r="I8" s="10" t="s">
        <v>32</v>
      </c>
      <c r="M8" s="23"/>
      <c r="N8" s="24"/>
      <c r="O8" s="25"/>
      <c r="P8" s="25"/>
    </row>
    <row r="9" spans="1:16" ht="15.75" customHeight="1" x14ac:dyDescent="0.2">
      <c r="A9" s="11" t="s">
        <v>50</v>
      </c>
      <c r="B9" s="14" t="str">
        <f t="shared" si="0"/>
        <v>23-AUG</v>
      </c>
      <c r="C9" s="14" t="str">
        <f t="shared" si="1"/>
        <v>UK</v>
      </c>
      <c r="D9" s="14" t="str">
        <f t="shared" si="2"/>
        <v>23-08-2026</v>
      </c>
      <c r="E9" s="11" t="s">
        <v>51</v>
      </c>
      <c r="F9" s="11" t="s">
        <v>52</v>
      </c>
      <c r="G9" s="19">
        <v>90</v>
      </c>
      <c r="H9" s="11">
        <v>35</v>
      </c>
      <c r="I9" s="11" t="s">
        <v>36</v>
      </c>
      <c r="M9" s="23" t="s">
        <v>4</v>
      </c>
      <c r="N9" s="24"/>
      <c r="O9" s="25"/>
      <c r="P9" s="25"/>
    </row>
    <row r="10" spans="1:16" ht="15.75" customHeight="1" x14ac:dyDescent="0.2">
      <c r="A10" s="10" t="s">
        <v>53</v>
      </c>
      <c r="B10" s="14" t="str">
        <f t="shared" si="0"/>
        <v>05-SEP</v>
      </c>
      <c r="C10" s="14" t="str">
        <f t="shared" si="1"/>
        <v>UK</v>
      </c>
      <c r="D10" s="14" t="str">
        <f t="shared" si="2"/>
        <v>05-09-2026</v>
      </c>
      <c r="E10" s="10" t="s">
        <v>54</v>
      </c>
      <c r="F10" s="10" t="s">
        <v>55</v>
      </c>
      <c r="G10" s="18">
        <v>500</v>
      </c>
      <c r="H10" s="10">
        <v>50</v>
      </c>
      <c r="I10" s="10" t="s">
        <v>28</v>
      </c>
      <c r="M10" s="23"/>
      <c r="N10" s="24"/>
      <c r="O10" s="25"/>
      <c r="P10" s="25"/>
    </row>
    <row r="11" spans="1:16" ht="50.25" customHeight="1" x14ac:dyDescent="0.2">
      <c r="A11" s="11" t="s">
        <v>56</v>
      </c>
      <c r="B11" s="14" t="str">
        <f t="shared" si="0"/>
        <v>14-OCT</v>
      </c>
      <c r="C11" s="14" t="str">
        <f t="shared" si="1"/>
        <v>UK</v>
      </c>
      <c r="D11" s="14" t="str">
        <f t="shared" si="2"/>
        <v>14-10-2026</v>
      </c>
      <c r="E11" s="11" t="s">
        <v>57</v>
      </c>
      <c r="F11" s="11" t="s">
        <v>58</v>
      </c>
      <c r="G11" s="19">
        <v>130</v>
      </c>
      <c r="H11" s="11">
        <v>10</v>
      </c>
      <c r="I11" s="11" t="s">
        <v>59</v>
      </c>
      <c r="M11" s="23" t="s">
        <v>120</v>
      </c>
      <c r="N11" s="24" t="s">
        <v>121</v>
      </c>
      <c r="O11" s="25"/>
      <c r="P11" s="25"/>
    </row>
    <row r="12" spans="1:16" ht="15.75" customHeight="1" x14ac:dyDescent="0.2">
      <c r="A12" s="10" t="s">
        <v>60</v>
      </c>
      <c r="B12" s="14" t="str">
        <f t="shared" si="0"/>
        <v>17-JUN</v>
      </c>
      <c r="C12" s="14" t="str">
        <f t="shared" si="1"/>
        <v>IN</v>
      </c>
      <c r="D12" s="14" t="str">
        <f t="shared" si="2"/>
        <v>17-06-2026</v>
      </c>
      <c r="E12" s="10" t="s">
        <v>61</v>
      </c>
      <c r="F12" s="10" t="s">
        <v>62</v>
      </c>
      <c r="G12" s="18">
        <v>950</v>
      </c>
      <c r="H12" s="10">
        <v>25</v>
      </c>
      <c r="I12" s="10" t="s">
        <v>28</v>
      </c>
      <c r="M12" s="23"/>
      <c r="N12" s="24"/>
      <c r="O12" s="25"/>
      <c r="P12" s="25"/>
    </row>
    <row r="13" spans="1:16" ht="15.75" customHeight="1" x14ac:dyDescent="0.2">
      <c r="A13" s="11" t="s">
        <v>63</v>
      </c>
      <c r="B13" s="14" t="str">
        <f t="shared" si="0"/>
        <v>25-NOV</v>
      </c>
      <c r="C13" s="14" t="str">
        <f t="shared" si="1"/>
        <v>AU</v>
      </c>
      <c r="D13" s="14" t="str">
        <f t="shared" si="2"/>
        <v>25-11-2026</v>
      </c>
      <c r="E13" s="11" t="s">
        <v>30</v>
      </c>
      <c r="F13" s="11" t="s">
        <v>49</v>
      </c>
      <c r="G13" s="19">
        <v>90</v>
      </c>
      <c r="H13" s="11">
        <v>40</v>
      </c>
      <c r="I13" s="11"/>
      <c r="M13" s="23"/>
      <c r="N13" s="24"/>
      <c r="O13" s="25"/>
      <c r="P13" s="25"/>
    </row>
    <row r="14" spans="1:16" ht="50.25" customHeight="1" x14ac:dyDescent="0.2">
      <c r="A14" s="10" t="s">
        <v>64</v>
      </c>
      <c r="B14" s="14" t="str">
        <f t="shared" si="0"/>
        <v>08-DEC</v>
      </c>
      <c r="C14" s="14" t="str">
        <f t="shared" si="1"/>
        <v>DE</v>
      </c>
      <c r="D14" s="14" t="str">
        <f t="shared" si="2"/>
        <v>08-12-2026</v>
      </c>
      <c r="E14" s="10" t="s">
        <v>34</v>
      </c>
      <c r="F14" s="10" t="s">
        <v>65</v>
      </c>
      <c r="G14" s="18">
        <v>120</v>
      </c>
      <c r="H14" s="10">
        <v>35</v>
      </c>
      <c r="I14" s="10"/>
      <c r="M14" s="23" t="s">
        <v>122</v>
      </c>
      <c r="N14" s="24" t="s">
        <v>123</v>
      </c>
      <c r="O14" s="25"/>
      <c r="P14" s="25"/>
    </row>
    <row r="15" spans="1:16" ht="15.75" customHeight="1" x14ac:dyDescent="0.2">
      <c r="A15" s="11" t="s">
        <v>66</v>
      </c>
      <c r="B15" s="14" t="str">
        <f t="shared" si="0"/>
        <v>18-FEB</v>
      </c>
      <c r="C15" s="14" t="str">
        <f t="shared" si="1"/>
        <v>CA</v>
      </c>
      <c r="D15" s="14" t="str">
        <f t="shared" si="2"/>
        <v>18-02-2026</v>
      </c>
      <c r="E15" s="11" t="s">
        <v>67</v>
      </c>
      <c r="F15" s="11" t="s">
        <v>68</v>
      </c>
      <c r="G15" s="19">
        <v>150</v>
      </c>
      <c r="H15" s="11">
        <v>15</v>
      </c>
      <c r="I15" s="11" t="s">
        <v>46</v>
      </c>
      <c r="M15" s="23"/>
      <c r="N15" s="24"/>
      <c r="O15" s="25"/>
      <c r="P15" s="25"/>
    </row>
    <row r="16" spans="1:16" ht="15.75" customHeight="1" x14ac:dyDescent="0.2">
      <c r="A16" s="10" t="s">
        <v>69</v>
      </c>
      <c r="B16" s="14" t="str">
        <f t="shared" si="0"/>
        <v>16-APR</v>
      </c>
      <c r="C16" s="14" t="str">
        <f t="shared" si="1"/>
        <v>ES</v>
      </c>
      <c r="D16" s="14" t="str">
        <f t="shared" si="2"/>
        <v>16-04-2026</v>
      </c>
      <c r="E16" s="10" t="s">
        <v>70</v>
      </c>
      <c r="F16" s="10" t="s">
        <v>71</v>
      </c>
      <c r="G16" s="18">
        <v>250</v>
      </c>
      <c r="H16" s="10">
        <v>20</v>
      </c>
      <c r="I16" s="10" t="s">
        <v>46</v>
      </c>
      <c r="M16" s="23" t="s">
        <v>8</v>
      </c>
      <c r="N16" s="24"/>
      <c r="O16" s="25"/>
      <c r="P16" s="25"/>
    </row>
    <row r="17" spans="1:16" ht="15.75" customHeight="1" x14ac:dyDescent="0.2">
      <c r="A17" s="11" t="s">
        <v>72</v>
      </c>
      <c r="B17" s="14" t="str">
        <f t="shared" si="0"/>
        <v>21-AUG</v>
      </c>
      <c r="C17" s="14" t="str">
        <f t="shared" si="1"/>
        <v>CA</v>
      </c>
      <c r="D17" s="14" t="str">
        <f t="shared" si="2"/>
        <v>21-08-2026</v>
      </c>
      <c r="E17" s="11" t="s">
        <v>73</v>
      </c>
      <c r="F17" s="11" t="s">
        <v>74</v>
      </c>
      <c r="G17" s="19">
        <v>50</v>
      </c>
      <c r="H17" s="11">
        <v>35</v>
      </c>
      <c r="I17" s="11" t="s">
        <v>75</v>
      </c>
      <c r="M17" s="23"/>
      <c r="N17" s="24"/>
      <c r="O17" s="25"/>
      <c r="P17" s="25"/>
    </row>
    <row r="18" spans="1:16" ht="123" customHeight="1" x14ac:dyDescent="0.2">
      <c r="A18" s="10" t="s">
        <v>76</v>
      </c>
      <c r="B18" s="14" t="str">
        <f t="shared" si="0"/>
        <v>20-AUG</v>
      </c>
      <c r="C18" s="14" t="str">
        <f t="shared" si="1"/>
        <v>CN</v>
      </c>
      <c r="D18" s="14" t="str">
        <f t="shared" si="2"/>
        <v>20-08-2026</v>
      </c>
      <c r="E18" s="10" t="s">
        <v>67</v>
      </c>
      <c r="F18" s="10" t="s">
        <v>77</v>
      </c>
      <c r="G18" s="18">
        <v>160</v>
      </c>
      <c r="H18" s="10">
        <v>15</v>
      </c>
      <c r="I18" s="10" t="s">
        <v>46</v>
      </c>
      <c r="M18" s="23" t="s">
        <v>124</v>
      </c>
      <c r="N18" s="24" t="s">
        <v>125</v>
      </c>
      <c r="O18" s="25"/>
      <c r="P18" s="25"/>
    </row>
    <row r="19" spans="1:16" ht="15.75" customHeight="1" x14ac:dyDescent="0.2">
      <c r="A19" s="11" t="s">
        <v>78</v>
      </c>
      <c r="B19" s="14" t="str">
        <f t="shared" si="0"/>
        <v>27-JAN</v>
      </c>
      <c r="C19" s="14" t="str">
        <f t="shared" si="1"/>
        <v>IT</v>
      </c>
      <c r="D19" s="14" t="str">
        <f t="shared" si="2"/>
        <v>27-01-2026</v>
      </c>
      <c r="E19" s="11" t="s">
        <v>26</v>
      </c>
      <c r="F19" s="11" t="s">
        <v>79</v>
      </c>
      <c r="G19" s="19">
        <v>980</v>
      </c>
      <c r="H19" s="11">
        <v>10</v>
      </c>
      <c r="I19" s="11" t="s">
        <v>28</v>
      </c>
      <c r="M19" s="23"/>
      <c r="N19" s="24"/>
      <c r="O19" s="25"/>
      <c r="P19" s="25"/>
    </row>
    <row r="20" spans="1:16" ht="22.5" customHeight="1" x14ac:dyDescent="0.2">
      <c r="A20" s="10" t="s">
        <v>80</v>
      </c>
      <c r="B20" s="14" t="str">
        <f t="shared" si="0"/>
        <v>01-MAR</v>
      </c>
      <c r="C20" s="14" t="str">
        <f t="shared" si="1"/>
        <v>UK</v>
      </c>
      <c r="D20" s="14" t="str">
        <f t="shared" si="2"/>
        <v>01-03-2026</v>
      </c>
      <c r="E20" s="10" t="s">
        <v>81</v>
      </c>
      <c r="F20" s="10" t="s">
        <v>82</v>
      </c>
      <c r="G20" s="18">
        <v>150</v>
      </c>
      <c r="H20" s="10">
        <v>15</v>
      </c>
      <c r="I20" s="10" t="s">
        <v>32</v>
      </c>
      <c r="M20" s="23"/>
      <c r="N20" s="24"/>
      <c r="O20" s="25"/>
      <c r="P20" s="25"/>
    </row>
    <row r="21" spans="1:16" ht="36" customHeight="1" x14ac:dyDescent="0.2">
      <c r="A21" s="11" t="s">
        <v>83</v>
      </c>
      <c r="B21" s="14" t="str">
        <f t="shared" si="0"/>
        <v>14-AUG</v>
      </c>
      <c r="C21" s="14" t="str">
        <f t="shared" si="1"/>
        <v>US</v>
      </c>
      <c r="D21" s="14" t="str">
        <f t="shared" si="2"/>
        <v>14-08-2026</v>
      </c>
      <c r="E21" s="11" t="s">
        <v>84</v>
      </c>
      <c r="F21" s="11" t="s">
        <v>85</v>
      </c>
      <c r="G21" s="19"/>
      <c r="H21" s="11">
        <v>10</v>
      </c>
      <c r="I21" s="11" t="s">
        <v>59</v>
      </c>
      <c r="M21" s="23" t="s">
        <v>10</v>
      </c>
      <c r="N21" s="28" t="s">
        <v>128</v>
      </c>
      <c r="O21" s="25"/>
      <c r="P21" s="25"/>
    </row>
    <row r="22" spans="1:16" ht="15.75" customHeight="1" x14ac:dyDescent="0.2">
      <c r="A22" s="10" t="s">
        <v>86</v>
      </c>
      <c r="B22" s="14" t="str">
        <f t="shared" si="0"/>
        <v>14-MAY</v>
      </c>
      <c r="C22" s="14" t="str">
        <f t="shared" si="1"/>
        <v>RU</v>
      </c>
      <c r="D22" s="14" t="str">
        <f t="shared" si="2"/>
        <v>14-05-2026</v>
      </c>
      <c r="E22" s="10" t="s">
        <v>87</v>
      </c>
      <c r="F22" s="10" t="s">
        <v>88</v>
      </c>
      <c r="G22" s="18">
        <v>700</v>
      </c>
      <c r="H22" s="10">
        <v>50</v>
      </c>
      <c r="I22" s="10" t="s">
        <v>28</v>
      </c>
      <c r="M22" s="23"/>
      <c r="N22" s="24"/>
      <c r="O22" s="25"/>
      <c r="P22" s="25"/>
    </row>
    <row r="23" spans="1:16" ht="63" customHeight="1" x14ac:dyDescent="0.2">
      <c r="A23" s="11" t="s">
        <v>89</v>
      </c>
      <c r="B23" s="14" t="str">
        <f t="shared" si="0"/>
        <v>09-JAN</v>
      </c>
      <c r="C23" s="14" t="str">
        <f t="shared" si="1"/>
        <v>CA</v>
      </c>
      <c r="D23" s="14" t="str">
        <f t="shared" si="2"/>
        <v>09-01-2026</v>
      </c>
      <c r="E23" s="11" t="s">
        <v>90</v>
      </c>
      <c r="F23" s="11" t="s">
        <v>91</v>
      </c>
      <c r="G23" s="19">
        <v>80</v>
      </c>
      <c r="H23" s="11">
        <v>20</v>
      </c>
      <c r="I23" s="11" t="s">
        <v>36</v>
      </c>
      <c r="M23" s="35" t="s">
        <v>144</v>
      </c>
      <c r="N23" s="28" t="s">
        <v>131</v>
      </c>
      <c r="O23" s="29" t="s">
        <v>132</v>
      </c>
      <c r="P23" s="30" t="str">
        <f>LEFT(A2, LEN(A2)-3)</f>
        <v>28-JAN</v>
      </c>
    </row>
    <row r="24" spans="1:16" ht="15.75" customHeight="1" x14ac:dyDescent="0.2">
      <c r="A24" s="10" t="s">
        <v>92</v>
      </c>
      <c r="B24" s="14" t="str">
        <f t="shared" si="0"/>
        <v>19-JUL</v>
      </c>
      <c r="C24" s="14" t="str">
        <f t="shared" si="1"/>
        <v>BR</v>
      </c>
      <c r="D24" s="14" t="str">
        <f t="shared" si="2"/>
        <v>19-07-2026</v>
      </c>
      <c r="E24" s="10" t="s">
        <v>93</v>
      </c>
      <c r="F24" s="10" t="s">
        <v>94</v>
      </c>
      <c r="G24" s="18">
        <v>150</v>
      </c>
      <c r="H24" s="10">
        <v>30</v>
      </c>
      <c r="I24" s="10"/>
      <c r="M24" s="36"/>
      <c r="N24" s="28" t="s">
        <v>133</v>
      </c>
      <c r="O24" s="29" t="s">
        <v>134</v>
      </c>
      <c r="P24" s="25" t="str">
        <f>RIGHT(A2, 2)</f>
        <v>US</v>
      </c>
    </row>
    <row r="25" spans="1:16" ht="15.75" customHeight="1" x14ac:dyDescent="0.2">
      <c r="A25" s="11" t="s">
        <v>72</v>
      </c>
      <c r="B25" s="14" t="str">
        <f t="shared" si="0"/>
        <v>21-AUG</v>
      </c>
      <c r="C25" s="14" t="str">
        <f t="shared" si="1"/>
        <v>CA</v>
      </c>
      <c r="D25" s="14" t="str">
        <f t="shared" si="2"/>
        <v>21-08-2026</v>
      </c>
      <c r="E25" s="11" t="s">
        <v>73</v>
      </c>
      <c r="F25" s="11" t="s">
        <v>74</v>
      </c>
      <c r="G25" s="19">
        <v>50</v>
      </c>
      <c r="H25" s="11">
        <v>35</v>
      </c>
      <c r="I25" s="11" t="s">
        <v>75</v>
      </c>
      <c r="M25" s="23"/>
      <c r="N25" s="24"/>
      <c r="O25" s="25"/>
      <c r="P25" s="25"/>
    </row>
    <row r="26" spans="1:16" ht="15.75" customHeight="1" x14ac:dyDescent="0.2">
      <c r="A26" s="10" t="s">
        <v>95</v>
      </c>
      <c r="B26" s="14" t="str">
        <f t="shared" si="0"/>
        <v>29-SEP</v>
      </c>
      <c r="C26" s="14" t="str">
        <f t="shared" si="1"/>
        <v>CA</v>
      </c>
      <c r="D26" s="14" t="str">
        <f t="shared" si="2"/>
        <v>29-09-2026</v>
      </c>
      <c r="E26" s="10" t="s">
        <v>96</v>
      </c>
      <c r="F26" s="10" t="s">
        <v>97</v>
      </c>
      <c r="G26" s="18">
        <v>800</v>
      </c>
      <c r="H26" s="10">
        <v>45</v>
      </c>
      <c r="I26" s="10" t="s">
        <v>28</v>
      </c>
      <c r="M26" s="23" t="s">
        <v>13</v>
      </c>
      <c r="N26" s="24"/>
      <c r="O26" s="25"/>
      <c r="P26" s="25"/>
    </row>
    <row r="27" spans="1:16" ht="15.75" customHeight="1" x14ac:dyDescent="0.2">
      <c r="A27" s="11" t="s">
        <v>98</v>
      </c>
      <c r="B27" s="14" t="str">
        <f t="shared" si="0"/>
        <v>03-JUN</v>
      </c>
      <c r="C27" s="14" t="str">
        <f t="shared" si="1"/>
        <v>CA</v>
      </c>
      <c r="D27" s="14" t="str">
        <f t="shared" si="2"/>
        <v>03-06-2026</v>
      </c>
      <c r="E27" s="11" t="s">
        <v>81</v>
      </c>
      <c r="F27" s="11" t="s">
        <v>99</v>
      </c>
      <c r="G27" s="19"/>
      <c r="H27" s="11">
        <v>25</v>
      </c>
      <c r="I27" s="11" t="s">
        <v>32</v>
      </c>
      <c r="M27" s="23"/>
      <c r="N27" s="24"/>
      <c r="O27" s="25"/>
      <c r="P27" s="25"/>
    </row>
    <row r="28" spans="1:16" ht="32.25" customHeight="1" x14ac:dyDescent="0.2">
      <c r="A28" s="10" t="s">
        <v>100</v>
      </c>
      <c r="B28" s="14" t="str">
        <f t="shared" si="0"/>
        <v>11-JUL</v>
      </c>
      <c r="C28" s="14" t="str">
        <f t="shared" si="1"/>
        <v>CA</v>
      </c>
      <c r="D28" s="14" t="str">
        <f t="shared" si="2"/>
        <v>11-07-2026</v>
      </c>
      <c r="E28" s="10" t="s">
        <v>51</v>
      </c>
      <c r="F28" s="10" t="s">
        <v>101</v>
      </c>
      <c r="G28" s="18">
        <v>400</v>
      </c>
      <c r="H28" s="10">
        <v>40</v>
      </c>
      <c r="I28" s="10" t="s">
        <v>36</v>
      </c>
      <c r="M28" s="23" t="s">
        <v>135</v>
      </c>
      <c r="N28" s="28" t="s">
        <v>138</v>
      </c>
      <c r="O28" s="25"/>
      <c r="P28" s="25"/>
    </row>
    <row r="29" spans="1:16" ht="15.75" customHeight="1" x14ac:dyDescent="0.2">
      <c r="A29" s="11" t="s">
        <v>69</v>
      </c>
      <c r="B29" s="14" t="str">
        <f t="shared" si="0"/>
        <v>16-APR</v>
      </c>
      <c r="C29" s="14" t="str">
        <f t="shared" si="1"/>
        <v>ES</v>
      </c>
      <c r="D29" s="14" t="str">
        <f t="shared" si="2"/>
        <v>16-04-2026</v>
      </c>
      <c r="E29" s="11" t="s">
        <v>70</v>
      </c>
      <c r="F29" s="11" t="s">
        <v>71</v>
      </c>
      <c r="G29" s="19">
        <v>250</v>
      </c>
      <c r="H29" s="11">
        <v>20</v>
      </c>
      <c r="I29" s="11" t="s">
        <v>46</v>
      </c>
      <c r="M29" s="23"/>
      <c r="N29" s="24"/>
      <c r="O29" s="25"/>
      <c r="P29" s="25"/>
    </row>
    <row r="30" spans="1:16" ht="52.5" customHeight="1" x14ac:dyDescent="0.2">
      <c r="A30" s="10" t="s">
        <v>102</v>
      </c>
      <c r="B30" s="14" t="str">
        <f t="shared" si="0"/>
        <v>07-MAR</v>
      </c>
      <c r="C30" s="14" t="str">
        <f t="shared" si="1"/>
        <v>CA</v>
      </c>
      <c r="D30" s="14" t="str">
        <f t="shared" si="2"/>
        <v>07-03-2026</v>
      </c>
      <c r="E30" s="10" t="s">
        <v>103</v>
      </c>
      <c r="F30" s="10" t="s">
        <v>104</v>
      </c>
      <c r="G30" s="18">
        <v>60</v>
      </c>
      <c r="H30" s="10">
        <v>30</v>
      </c>
      <c r="I30" s="10" t="s">
        <v>32</v>
      </c>
      <c r="M30" s="23" t="s">
        <v>136</v>
      </c>
      <c r="N30" s="28" t="s">
        <v>141</v>
      </c>
      <c r="O30" s="25"/>
      <c r="P30" s="25"/>
    </row>
    <row r="31" spans="1:16" ht="15.75" customHeight="1" x14ac:dyDescent="0.2">
      <c r="A31" s="11" t="s">
        <v>105</v>
      </c>
      <c r="B31" s="14" t="str">
        <f t="shared" si="0"/>
        <v>13-APR</v>
      </c>
      <c r="C31" s="14" t="str">
        <f t="shared" si="1"/>
        <v>CA</v>
      </c>
      <c r="D31" s="14" t="str">
        <f t="shared" si="2"/>
        <v>13-04-2026</v>
      </c>
      <c r="E31" s="11" t="s">
        <v>106</v>
      </c>
      <c r="F31" s="11" t="s">
        <v>107</v>
      </c>
      <c r="G31" s="19">
        <v>40</v>
      </c>
      <c r="H31" s="11">
        <v>10</v>
      </c>
      <c r="I31" s="11" t="s">
        <v>36</v>
      </c>
      <c r="M31" s="23"/>
      <c r="N31" s="24"/>
      <c r="O31" s="25"/>
      <c r="P31" s="25"/>
    </row>
    <row r="32" spans="1:16" ht="15.75" customHeight="1" x14ac:dyDescent="0.2">
      <c r="A32" s="10" t="s">
        <v>108</v>
      </c>
      <c r="B32" s="14" t="str">
        <f t="shared" si="0"/>
        <v>24-MAY</v>
      </c>
      <c r="C32" s="14" t="str">
        <f t="shared" si="1"/>
        <v>CA</v>
      </c>
      <c r="D32" s="14" t="str">
        <f t="shared" si="2"/>
        <v>24-05-2026</v>
      </c>
      <c r="E32" s="10" t="s">
        <v>93</v>
      </c>
      <c r="F32" s="10" t="s">
        <v>109</v>
      </c>
      <c r="G32" s="18">
        <v>130</v>
      </c>
      <c r="H32" s="10">
        <v>5</v>
      </c>
      <c r="I32" s="10" t="s">
        <v>28</v>
      </c>
      <c r="M32" s="23" t="s">
        <v>16</v>
      </c>
      <c r="N32" s="24"/>
      <c r="O32" s="25"/>
      <c r="P32" s="25"/>
    </row>
    <row r="33" spans="1:16" ht="15.75" customHeight="1" x14ac:dyDescent="0.2">
      <c r="A33" s="11" t="s">
        <v>110</v>
      </c>
      <c r="B33" s="14" t="str">
        <f t="shared" si="0"/>
        <v>02-DEC</v>
      </c>
      <c r="C33" s="14" t="str">
        <f t="shared" si="1"/>
        <v>CA</v>
      </c>
      <c r="D33" s="14" t="str">
        <f t="shared" si="2"/>
        <v>02-12-2026</v>
      </c>
      <c r="E33" s="11" t="s">
        <v>111</v>
      </c>
      <c r="F33" s="11" t="s">
        <v>112</v>
      </c>
      <c r="G33" s="19">
        <v>50</v>
      </c>
      <c r="H33" s="11">
        <v>50</v>
      </c>
      <c r="I33" s="11" t="s">
        <v>32</v>
      </c>
      <c r="M33" s="23"/>
      <c r="N33" s="24"/>
      <c r="O33" s="25"/>
      <c r="P33" s="25"/>
    </row>
    <row r="34" spans="1:16" ht="34.5" customHeight="1" x14ac:dyDescent="0.2">
      <c r="A34" s="10" t="s">
        <v>60</v>
      </c>
      <c r="B34" s="14" t="str">
        <f t="shared" si="0"/>
        <v>17-JUN</v>
      </c>
      <c r="C34" s="14" t="str">
        <f t="shared" si="1"/>
        <v>IN</v>
      </c>
      <c r="D34" s="14" t="str">
        <f t="shared" si="2"/>
        <v>17-06-2026</v>
      </c>
      <c r="E34" s="10" t="s">
        <v>61</v>
      </c>
      <c r="F34" s="10" t="s">
        <v>62</v>
      </c>
      <c r="G34" s="18">
        <v>950</v>
      </c>
      <c r="H34" s="10">
        <v>25</v>
      </c>
      <c r="I34" s="10" t="s">
        <v>28</v>
      </c>
      <c r="M34" s="23" t="s">
        <v>139</v>
      </c>
      <c r="N34" s="28" t="s">
        <v>140</v>
      </c>
      <c r="O34" s="25"/>
      <c r="P34" s="25"/>
    </row>
    <row r="35" spans="1:16" ht="15.75" customHeight="1" x14ac:dyDescent="0.2">
      <c r="A35" s="11" t="s">
        <v>113</v>
      </c>
      <c r="B35" s="14" t="str">
        <f t="shared" si="0"/>
        <v>09-JUL</v>
      </c>
      <c r="C35" s="14" t="str">
        <f t="shared" si="1"/>
        <v>FR</v>
      </c>
      <c r="D35" s="14" t="str">
        <f t="shared" si="2"/>
        <v>09-07-2026</v>
      </c>
      <c r="E35" s="11" t="s">
        <v>114</v>
      </c>
      <c r="F35" s="11" t="s">
        <v>115</v>
      </c>
      <c r="G35" s="19">
        <v>100</v>
      </c>
      <c r="H35" s="11">
        <v>20</v>
      </c>
      <c r="I35" s="11" t="s">
        <v>75</v>
      </c>
      <c r="M35" s="23"/>
      <c r="N35" s="24"/>
      <c r="O35" s="25"/>
      <c r="P35" s="25"/>
    </row>
    <row r="36" spans="1:16" s="31" customFormat="1" ht="15.75" customHeight="1" x14ac:dyDescent="0.2">
      <c r="G36" s="32"/>
      <c r="M36" s="33"/>
      <c r="N36" s="34"/>
    </row>
    <row r="37" spans="1:16" ht="15.75" customHeight="1" x14ac:dyDescent="0.2"/>
    <row r="38" spans="1:16" ht="15.75" customHeight="1" x14ac:dyDescent="0.2"/>
    <row r="39" spans="1:16" ht="15.75" customHeight="1" x14ac:dyDescent="0.2"/>
    <row r="40" spans="1:16" ht="15.75" customHeight="1" x14ac:dyDescent="0.2"/>
    <row r="41" spans="1:16" ht="15.75" customHeight="1" x14ac:dyDescent="0.2"/>
    <row r="42" spans="1:16" ht="15.75" customHeight="1" x14ac:dyDescent="0.2"/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M23:M24"/>
  </mergeCells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ellIs" dxfId="0" priority="1" operator="equal">
      <formula>"Electronics"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2026-07-04T04:51:37Z</dcterms:modified>
</cp:coreProperties>
</file>