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sta analyst task\week 2\Assignment\"/>
    </mc:Choice>
  </mc:AlternateContent>
  <xr:revisionPtr revIDLastSave="0" documentId="13_ncr:1_{20F78A54-D9D3-4A8B-8E92-C6593F4A4D5F}" xr6:coauthVersionLast="36" xr6:coauthVersionMax="36" xr10:uidLastSave="{00000000-0000-0000-0000-000000000000}"/>
  <bookViews>
    <workbookView xWindow="0" yWindow="0" windowWidth="21570" windowHeight="8640" activeTab="1" xr2:uid="{00000000-000D-0000-FFFF-FFFF00000000}"/>
  </bookViews>
  <sheets>
    <sheet name="Instructions" sheetId="1" r:id="rId1"/>
    <sheet name="Dataset" sheetId="2" r:id="rId2"/>
  </sheets>
  <calcPr calcId="191029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P21" i="2"/>
  <c r="P1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  <c r="P13" i="2"/>
  <c r="P11" i="2"/>
  <c r="P5" i="2"/>
  <c r="P7" i="2"/>
  <c r="P3" i="2"/>
</calcChain>
</file>

<file path=xl/sharedStrings.xml><?xml version="1.0" encoding="utf-8"?>
<sst xmlns="http://schemas.openxmlformats.org/spreadsheetml/2006/main" count="195" uniqueCount="140">
  <si>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</si>
  <si>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</si>
  <si>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</si>
  <si>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</si>
  <si>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</si>
  <si>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</si>
  <si>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</si>
  <si>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</si>
  <si>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</si>
  <si>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</si>
  <si>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</si>
  <si>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</si>
  <si>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</si>
  <si>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</si>
  <si>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</si>
  <si>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</si>
  <si>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</si>
  <si>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</si>
  <si>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</si>
  <si>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</si>
  <si>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</si>
  <si>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</si>
  <si>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</si>
  <si>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</si>
  <si>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</si>
  <si>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</si>
  <si>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</si>
  <si>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</si>
  <si>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</si>
  <si>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</si>
  <si>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</si>
  <si>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</si>
  <si>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</si>
  <si>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</si>
  <si>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</si>
  <si>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</si>
  <si>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</si>
  <si>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</si>
  <si>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</si>
  <si>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</si>
  <si>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</si>
  <si>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</si>
  <si>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</si>
  <si>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</si>
  <si>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</si>
  <si>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</si>
  <si>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</si>
  <si>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</si>
  <si>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</si>
  <si>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</si>
  <si>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</si>
  <si>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</si>
  <si>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</si>
  <si>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</si>
  <si>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</si>
  <si>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</si>
  <si>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</si>
  <si>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</si>
  <si>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</si>
  <si>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</si>
  <si>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</si>
  <si>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</si>
  <si>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</si>
  <si>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</si>
  <si>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</si>
  <si>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</si>
  <si>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</si>
  <si>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</si>
  <si>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</si>
  <si>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</si>
  <si>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</si>
  <si>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</si>
  <si>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</si>
  <si>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</si>
  <si>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</si>
  <si>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</si>
  <si>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</si>
  <si>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</si>
  <si>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</si>
  <si>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</si>
  <si>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</si>
  <si>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</si>
  <si>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</si>
  <si>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</si>
  <si>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</si>
  <si>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</si>
  <si>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</si>
  <si>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</si>
  <si>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</si>
  <si>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</si>
  <si>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</si>
  <si>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</si>
  <si>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</si>
  <si>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</si>
  <si>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</si>
  <si>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</si>
  <si>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</si>
  <si>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</si>
  <si>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</si>
  <si>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</si>
  <si>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</si>
  <si>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</si>
  <si>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</si>
  <si>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</si>
  <si>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</si>
  <si>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</si>
  <si>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</si>
  <si>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</si>
  <si>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</si>
  <si>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</si>
  <si>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</si>
  <si>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SUM</t>
  </si>
  <si>
    <t>How many products are there in the dataset?</t>
  </si>
  <si>
    <t>COUNTA</t>
  </si>
  <si>
    <t>Calculate the average price of the products?</t>
  </si>
  <si>
    <t>AVERAGE</t>
  </si>
  <si>
    <t>Determine the minimum price among all products.</t>
  </si>
  <si>
    <t>MIN</t>
  </si>
  <si>
    <t>MAX</t>
  </si>
  <si>
    <t>Price range</t>
  </si>
  <si>
    <t>IF</t>
  </si>
  <si>
    <t>Done in Table coulmn E</t>
  </si>
  <si>
    <t>Calculate the total price for products in the 'Electronics' category using the SUMIF function.</t>
  </si>
  <si>
    <t>SUM IF</t>
  </si>
  <si>
    <t>Determine the count of products with a price less than $100 using the COUNTIF function.</t>
  </si>
  <si>
    <t>COUNTIF</t>
  </si>
  <si>
    <t>Day</t>
  </si>
  <si>
    <t>LEFT</t>
  </si>
  <si>
    <t>Done in Table coulmn H</t>
  </si>
  <si>
    <t>Create a new column named Day with the first 2 characters of each 'Product ID' using the LEFT function.</t>
  </si>
  <si>
    <t>Create a new column named Country Code by extracting the last 2 characters from the 'Product ID' column using the RIGHT function.</t>
  </si>
  <si>
    <t>RIGHT</t>
  </si>
  <si>
    <t>Country code</t>
  </si>
  <si>
    <t>Done in Table coulmn I</t>
  </si>
  <si>
    <t>Create a new column named Month by extracting 4th to 6th characters from the 'Product ID' column using the MID function.</t>
  </si>
  <si>
    <t>Month</t>
  </si>
  <si>
    <t>MID</t>
  </si>
  <si>
    <t>Done in Table coulmn J</t>
  </si>
  <si>
    <t>Function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</si>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</sst>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0" fillId="0" borderId="1" xfId="0" applyFont="1" applyBorder="1" applyAlignment="1"/>
    <xf numFmtId="0" fontId="6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22" sqref="C22"/>
    </sheetView>
  </sheetViews>
  <sheetFormatPr defaultColWidth="12.5703125" defaultRowHeight="15.75" customHeight="1" x14ac:dyDescent="0.2"/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5"/>
  <sheetViews>
    <sheetView tabSelected="1" topLeftCell="E1" workbookViewId="0">
      <selection activeCell="P1" sqref="P1"/>
    </sheetView>
  </sheetViews>
  <sheetFormatPr defaultColWidth="12.5703125" defaultRowHeight="15.75" customHeight="1" x14ac:dyDescent="0.2"/>
  <cols>
    <col min="9" max="9" width="14.28515625" customWidth="1"/>
    <col min="14" max="14" width="114.28515625" bestFit="1" customWidth="1"/>
    <col min="16" max="16" width="21" bestFit="1" customWidth="1"/>
  </cols>
  <sheetData>
    <row r="1" spans="1:16" ht="12.75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119</v>
      </c>
      <c r="F1" s="5" t="s">
        <v>21</v>
      </c>
      <c r="G1" s="5" t="s">
        <v>22</v>
      </c>
      <c r="H1" s="5" t="s">
        <v>126</v>
      </c>
      <c r="I1" s="5" t="s">
        <v>132</v>
      </c>
      <c r="J1" s="5" t="s">
        <v>135</v>
      </c>
      <c r="N1" s="10" t="s">
        <v>1</v>
      </c>
      <c r="O1" s="10" t="s">
        <v>138</v>
      </c>
      <c r="P1" s="10" t="s">
        <v>139</v>
      </c>
    </row>
    <row r="2" spans="1:16" ht="12.75" x14ac:dyDescent="0.2">
      <c r="A2" s="2" t="s">
        <v>23</v>
      </c>
      <c r="B2" s="2" t="s">
        <v>24</v>
      </c>
      <c r="C2" s="2" t="s">
        <v>25</v>
      </c>
      <c r="D2" s="6">
        <v>1000</v>
      </c>
      <c r="E2" s="6" t="str">
        <f>IF(D2&gt;=500,"High Price","Standard Price")</f>
        <v>High Price</v>
      </c>
      <c r="F2" s="6">
        <v>30</v>
      </c>
      <c r="G2" s="2" t="s">
        <v>26</v>
      </c>
      <c r="H2" t="str">
        <f>LEFT(Dataset!A2:A35,2)</f>
        <v>28</v>
      </c>
      <c r="I2" t="str">
        <f>RIGHT(A2:A35,2)</f>
        <v>US</v>
      </c>
      <c r="J2" t="str">
        <f>MID(A2,4,1)&amp;MID(A2,6,1)</f>
        <v>JN</v>
      </c>
      <c r="N2" s="10"/>
      <c r="O2" s="9"/>
      <c r="P2" s="9"/>
    </row>
    <row r="3" spans="1:16" ht="12.75" x14ac:dyDescent="0.2">
      <c r="A3" s="7" t="s">
        <v>27</v>
      </c>
      <c r="B3" s="7" t="s">
        <v>28</v>
      </c>
      <c r="C3" s="7" t="s">
        <v>29</v>
      </c>
      <c r="D3" s="8">
        <v>80</v>
      </c>
      <c r="E3" s="6" t="str">
        <f t="shared" ref="E3:E35" si="0">IF(D3&gt;=500,"High Price","Standard Price")</f>
        <v>Standard Price</v>
      </c>
      <c r="F3" s="8">
        <v>15</v>
      </c>
      <c r="G3" s="7" t="s">
        <v>30</v>
      </c>
      <c r="H3" t="str">
        <f>LEFT(Dataset!A3:A36,2)</f>
        <v>15</v>
      </c>
      <c r="I3" t="str">
        <f t="shared" ref="I3:I35" si="1">RIGHT(A3:A36,2)</f>
        <v>US</v>
      </c>
      <c r="J3" t="str">
        <f t="shared" ref="J3:J35" si="2">MID(A3,4,1)&amp;MID(A3,6,1)</f>
        <v>FB</v>
      </c>
      <c r="N3" s="10" t="s">
        <v>110</v>
      </c>
      <c r="O3" s="9" t="s">
        <v>111</v>
      </c>
      <c r="P3" s="9">
        <f>SUM(D2:D35)</f>
        <v>10100</v>
      </c>
    </row>
    <row r="4" spans="1:16" ht="12.75" x14ac:dyDescent="0.2">
      <c r="A4" s="2" t="s">
        <v>31</v>
      </c>
      <c r="B4" s="2" t="s">
        <v>32</v>
      </c>
      <c r="C4" s="2" t="s">
        <v>33</v>
      </c>
      <c r="D4" s="6">
        <v>130</v>
      </c>
      <c r="E4" s="6" t="str">
        <f t="shared" si="0"/>
        <v>Standard Price</v>
      </c>
      <c r="F4" s="6">
        <v>40</v>
      </c>
      <c r="G4" s="2" t="s">
        <v>34</v>
      </c>
      <c r="H4" t="str">
        <f>LEFT(Dataset!A4:A37,2)</f>
        <v>03</v>
      </c>
      <c r="I4" t="str">
        <f t="shared" si="1"/>
        <v>US</v>
      </c>
      <c r="J4" t="str">
        <f t="shared" si="2"/>
        <v>MR</v>
      </c>
      <c r="N4" s="10"/>
      <c r="O4" s="9"/>
      <c r="P4" s="9"/>
    </row>
    <row r="5" spans="1:16" ht="15.75" customHeight="1" x14ac:dyDescent="0.2">
      <c r="A5" s="7" t="s">
        <v>35</v>
      </c>
      <c r="B5" s="7" t="s">
        <v>36</v>
      </c>
      <c r="C5" s="7" t="s">
        <v>37</v>
      </c>
      <c r="D5" s="8">
        <v>900</v>
      </c>
      <c r="E5" s="6" t="str">
        <f t="shared" si="0"/>
        <v>High Price</v>
      </c>
      <c r="F5" s="8">
        <v>25</v>
      </c>
      <c r="G5" s="7" t="s">
        <v>26</v>
      </c>
      <c r="H5" t="str">
        <f>LEFT(Dataset!A5:A38,2)</f>
        <v>11</v>
      </c>
      <c r="I5" t="str">
        <f t="shared" si="1"/>
        <v>US</v>
      </c>
      <c r="J5" t="str">
        <f t="shared" si="2"/>
        <v>AR</v>
      </c>
      <c r="N5" s="10" t="s">
        <v>112</v>
      </c>
      <c r="O5" s="9" t="s">
        <v>113</v>
      </c>
      <c r="P5" s="9">
        <f>COUNTA(A2:A35)</f>
        <v>34</v>
      </c>
    </row>
    <row r="6" spans="1:16" ht="12.75" x14ac:dyDescent="0.2">
      <c r="A6" s="2" t="s">
        <v>38</v>
      </c>
      <c r="B6" s="2" t="s">
        <v>39</v>
      </c>
      <c r="C6" s="2" t="s">
        <v>40</v>
      </c>
      <c r="D6" s="6">
        <v>70</v>
      </c>
      <c r="E6" s="6" t="str">
        <f t="shared" si="0"/>
        <v>Standard Price</v>
      </c>
      <c r="F6" s="6">
        <v>20</v>
      </c>
      <c r="G6" s="2" t="s">
        <v>41</v>
      </c>
      <c r="H6" t="str">
        <f>LEFT(Dataset!A6:A39,2)</f>
        <v>22</v>
      </c>
      <c r="I6" t="str">
        <f t="shared" si="1"/>
        <v>US</v>
      </c>
      <c r="J6" t="str">
        <f t="shared" si="2"/>
        <v>MY</v>
      </c>
      <c r="N6" s="10"/>
      <c r="O6" s="9"/>
      <c r="P6" s="9"/>
    </row>
    <row r="7" spans="1:16" ht="12.75" x14ac:dyDescent="0.2">
      <c r="A7" s="7" t="s">
        <v>42</v>
      </c>
      <c r="B7" s="7" t="s">
        <v>43</v>
      </c>
      <c r="C7" s="7" t="s">
        <v>44</v>
      </c>
      <c r="D7" s="8">
        <v>200</v>
      </c>
      <c r="E7" s="6" t="str">
        <f t="shared" si="0"/>
        <v>Standard Price</v>
      </c>
      <c r="F7" s="8">
        <v>45</v>
      </c>
      <c r="G7" s="7" t="s">
        <v>26</v>
      </c>
      <c r="H7" t="str">
        <f>LEFT(Dataset!A7:A40,2)</f>
        <v>07</v>
      </c>
      <c r="I7" t="str">
        <f t="shared" si="1"/>
        <v>UK</v>
      </c>
      <c r="J7" t="str">
        <f t="shared" si="2"/>
        <v>JN</v>
      </c>
      <c r="N7" s="10" t="s">
        <v>114</v>
      </c>
      <c r="O7" s="9" t="s">
        <v>115</v>
      </c>
      <c r="P7" s="9">
        <f>AVERAGE(D2:D35)</f>
        <v>297.05882352941177</v>
      </c>
    </row>
    <row r="8" spans="1:16" ht="12.75" x14ac:dyDescent="0.2">
      <c r="A8" s="2" t="s">
        <v>45</v>
      </c>
      <c r="B8" s="2" t="s">
        <v>46</v>
      </c>
      <c r="C8" s="2" t="s">
        <v>47</v>
      </c>
      <c r="D8" s="6">
        <v>30</v>
      </c>
      <c r="E8" s="6" t="str">
        <f t="shared" si="0"/>
        <v>Standard Price</v>
      </c>
      <c r="F8" s="6">
        <v>5</v>
      </c>
      <c r="G8" s="2" t="s">
        <v>30</v>
      </c>
      <c r="H8" t="str">
        <f>LEFT(Dataset!A8:A41,2)</f>
        <v>19</v>
      </c>
      <c r="I8" t="str">
        <f t="shared" si="1"/>
        <v>UK</v>
      </c>
      <c r="J8" t="str">
        <f t="shared" si="2"/>
        <v>JL</v>
      </c>
      <c r="N8" s="10"/>
      <c r="O8" s="9"/>
      <c r="P8" s="9"/>
    </row>
    <row r="9" spans="1:16" ht="12.75" x14ac:dyDescent="0.2">
      <c r="A9" s="7" t="s">
        <v>48</v>
      </c>
      <c r="B9" s="7" t="s">
        <v>49</v>
      </c>
      <c r="C9" s="7" t="s">
        <v>50</v>
      </c>
      <c r="D9" s="8">
        <v>90</v>
      </c>
      <c r="E9" s="6" t="str">
        <f t="shared" si="0"/>
        <v>Standard Price</v>
      </c>
      <c r="F9" s="8">
        <v>35</v>
      </c>
      <c r="G9" s="7" t="s">
        <v>34</v>
      </c>
      <c r="H9" t="str">
        <f>LEFT(Dataset!A9:A42,2)</f>
        <v>23</v>
      </c>
      <c r="I9" t="str">
        <f t="shared" si="1"/>
        <v>UK</v>
      </c>
      <c r="J9" t="str">
        <f t="shared" si="2"/>
        <v>AG</v>
      </c>
      <c r="N9" s="10" t="s">
        <v>5</v>
      </c>
      <c r="O9" s="9"/>
      <c r="P9" s="9"/>
    </row>
    <row r="10" spans="1:16" ht="12.75" x14ac:dyDescent="0.2">
      <c r="A10" s="2" t="s">
        <v>51</v>
      </c>
      <c r="B10" s="2" t="s">
        <v>52</v>
      </c>
      <c r="C10" s="2" t="s">
        <v>53</v>
      </c>
      <c r="D10" s="6">
        <v>500</v>
      </c>
      <c r="E10" s="6" t="str">
        <f t="shared" si="0"/>
        <v>High Price</v>
      </c>
      <c r="F10" s="6">
        <v>50</v>
      </c>
      <c r="G10" s="2" t="s">
        <v>26</v>
      </c>
      <c r="H10" t="str">
        <f>LEFT(Dataset!A10:A43,2)</f>
        <v>05</v>
      </c>
      <c r="I10" t="str">
        <f t="shared" si="1"/>
        <v>UK</v>
      </c>
      <c r="J10" t="str">
        <f t="shared" si="2"/>
        <v>SP</v>
      </c>
      <c r="N10" s="10"/>
      <c r="O10" s="9"/>
      <c r="P10" s="9"/>
    </row>
    <row r="11" spans="1:16" ht="12.75" x14ac:dyDescent="0.2">
      <c r="A11" s="7" t="s">
        <v>54</v>
      </c>
      <c r="B11" s="7" t="s">
        <v>55</v>
      </c>
      <c r="C11" s="7" t="s">
        <v>56</v>
      </c>
      <c r="D11" s="8">
        <v>130</v>
      </c>
      <c r="E11" s="6" t="str">
        <f t="shared" si="0"/>
        <v>Standard Price</v>
      </c>
      <c r="F11" s="8">
        <v>10</v>
      </c>
      <c r="G11" s="7" t="s">
        <v>41</v>
      </c>
      <c r="H11" t="str">
        <f>LEFT(Dataset!A11:A44,2)</f>
        <v>14</v>
      </c>
      <c r="I11" t="str">
        <f t="shared" si="1"/>
        <v>UK</v>
      </c>
      <c r="J11" t="str">
        <f t="shared" si="2"/>
        <v>OT</v>
      </c>
      <c r="N11" s="10" t="s">
        <v>116</v>
      </c>
      <c r="O11" s="9" t="s">
        <v>117</v>
      </c>
      <c r="P11" s="9">
        <f>MIN(D2:D35)</f>
        <v>30</v>
      </c>
    </row>
    <row r="12" spans="1:16" ht="12.75" x14ac:dyDescent="0.2">
      <c r="A12" s="2" t="s">
        <v>57</v>
      </c>
      <c r="B12" s="2" t="s">
        <v>24</v>
      </c>
      <c r="C12" s="2" t="s">
        <v>58</v>
      </c>
      <c r="D12" s="6">
        <v>950</v>
      </c>
      <c r="E12" s="6" t="str">
        <f t="shared" si="0"/>
        <v>High Price</v>
      </c>
      <c r="F12" s="6">
        <v>25</v>
      </c>
      <c r="G12" s="2" t="s">
        <v>26</v>
      </c>
      <c r="H12" t="str">
        <f>LEFT(Dataset!A12:A45,2)</f>
        <v>17</v>
      </c>
      <c r="I12" t="str">
        <f t="shared" si="1"/>
        <v>IN</v>
      </c>
      <c r="J12" t="str">
        <f t="shared" si="2"/>
        <v>JN</v>
      </c>
      <c r="N12" s="10"/>
      <c r="O12" s="9"/>
      <c r="P12" s="9"/>
    </row>
    <row r="13" spans="1:16" ht="12.75" x14ac:dyDescent="0.2">
      <c r="A13" s="7" t="s">
        <v>59</v>
      </c>
      <c r="B13" s="7" t="s">
        <v>28</v>
      </c>
      <c r="C13" s="7" t="s">
        <v>47</v>
      </c>
      <c r="D13" s="8">
        <v>90</v>
      </c>
      <c r="E13" s="6" t="str">
        <f t="shared" si="0"/>
        <v>Standard Price</v>
      </c>
      <c r="F13" s="8">
        <v>40</v>
      </c>
      <c r="G13" s="7" t="s">
        <v>30</v>
      </c>
      <c r="H13" t="str">
        <f>LEFT(Dataset!A13:A46,2)</f>
        <v>25</v>
      </c>
      <c r="I13" t="str">
        <f t="shared" si="1"/>
        <v>AU</v>
      </c>
      <c r="J13" t="str">
        <f t="shared" si="2"/>
        <v>NV</v>
      </c>
      <c r="N13" s="10" t="s">
        <v>116</v>
      </c>
      <c r="O13" s="9" t="s">
        <v>118</v>
      </c>
      <c r="P13" s="9">
        <f>MAX(D2:D35)</f>
        <v>1000</v>
      </c>
    </row>
    <row r="14" spans="1:16" ht="12.75" x14ac:dyDescent="0.2">
      <c r="A14" s="2" t="s">
        <v>60</v>
      </c>
      <c r="B14" s="2" t="s">
        <v>32</v>
      </c>
      <c r="C14" s="2" t="s">
        <v>61</v>
      </c>
      <c r="D14" s="6">
        <v>120</v>
      </c>
      <c r="E14" s="6" t="str">
        <f t="shared" si="0"/>
        <v>Standard Price</v>
      </c>
      <c r="F14" s="6">
        <v>35</v>
      </c>
      <c r="G14" s="2" t="s">
        <v>34</v>
      </c>
      <c r="H14" t="str">
        <f>LEFT(Dataset!A14:A47,2)</f>
        <v>08</v>
      </c>
      <c r="I14" t="str">
        <f t="shared" si="1"/>
        <v>DE</v>
      </c>
      <c r="J14" t="str">
        <f t="shared" si="2"/>
        <v>DC</v>
      </c>
      <c r="N14" s="10"/>
      <c r="O14" s="9"/>
      <c r="P14" s="9"/>
    </row>
    <row r="15" spans="1:16" ht="12.75" x14ac:dyDescent="0.2">
      <c r="A15" s="7" t="s">
        <v>62</v>
      </c>
      <c r="B15" s="7" t="s">
        <v>63</v>
      </c>
      <c r="C15" s="7" t="s">
        <v>64</v>
      </c>
      <c r="D15" s="8">
        <v>150</v>
      </c>
      <c r="E15" s="6" t="str">
        <f t="shared" si="0"/>
        <v>Standard Price</v>
      </c>
      <c r="F15" s="8">
        <v>15</v>
      </c>
      <c r="G15" s="7" t="s">
        <v>26</v>
      </c>
      <c r="H15" t="str">
        <f>LEFT(Dataset!A15:A48,2)</f>
        <v>18</v>
      </c>
      <c r="I15" t="str">
        <f t="shared" si="1"/>
        <v>CA</v>
      </c>
      <c r="J15" t="str">
        <f t="shared" si="2"/>
        <v>FB</v>
      </c>
      <c r="N15" s="10" t="s">
        <v>8</v>
      </c>
      <c r="O15" s="9" t="s">
        <v>120</v>
      </c>
      <c r="P15" s="9" t="s">
        <v>121</v>
      </c>
    </row>
    <row r="16" spans="1:16" ht="12.75" x14ac:dyDescent="0.2">
      <c r="A16" s="2" t="s">
        <v>65</v>
      </c>
      <c r="B16" s="2" t="s">
        <v>43</v>
      </c>
      <c r="C16" s="2" t="s">
        <v>66</v>
      </c>
      <c r="D16" s="6">
        <v>250</v>
      </c>
      <c r="E16" s="6" t="str">
        <f t="shared" si="0"/>
        <v>Standard Price</v>
      </c>
      <c r="F16" s="6">
        <v>20</v>
      </c>
      <c r="G16" s="2" t="s">
        <v>26</v>
      </c>
      <c r="H16" t="str">
        <f>LEFT(Dataset!A16:A49,2)</f>
        <v>16</v>
      </c>
      <c r="I16" t="str">
        <f t="shared" si="1"/>
        <v>ES</v>
      </c>
      <c r="J16" t="str">
        <f t="shared" si="2"/>
        <v>AR</v>
      </c>
      <c r="N16" s="10"/>
      <c r="O16" s="9"/>
      <c r="P16" s="9"/>
    </row>
    <row r="17" spans="1:16" ht="12.75" x14ac:dyDescent="0.2">
      <c r="A17" s="7" t="s">
        <v>67</v>
      </c>
      <c r="B17" s="7" t="s">
        <v>68</v>
      </c>
      <c r="C17" s="7" t="s">
        <v>69</v>
      </c>
      <c r="D17" s="8">
        <v>50</v>
      </c>
      <c r="E17" s="6" t="str">
        <f t="shared" si="0"/>
        <v>Standard Price</v>
      </c>
      <c r="F17" s="8">
        <v>35</v>
      </c>
      <c r="G17" s="7" t="s">
        <v>70</v>
      </c>
      <c r="H17" t="str">
        <f>LEFT(Dataset!A17:A50,2)</f>
        <v>21</v>
      </c>
      <c r="I17" t="str">
        <f t="shared" si="1"/>
        <v>CA</v>
      </c>
      <c r="J17" t="str">
        <f t="shared" si="2"/>
        <v>AG</v>
      </c>
      <c r="N17" s="10" t="s">
        <v>10</v>
      </c>
      <c r="O17" s="9"/>
      <c r="P17" s="9"/>
    </row>
    <row r="18" spans="1:16" ht="12.75" x14ac:dyDescent="0.2">
      <c r="A18" s="2" t="s">
        <v>71</v>
      </c>
      <c r="B18" s="2" t="s">
        <v>63</v>
      </c>
      <c r="C18" s="2" t="s">
        <v>72</v>
      </c>
      <c r="D18" s="6">
        <v>160</v>
      </c>
      <c r="E18" s="6" t="str">
        <f t="shared" si="0"/>
        <v>Standard Price</v>
      </c>
      <c r="F18" s="6">
        <v>15</v>
      </c>
      <c r="G18" s="2" t="s">
        <v>26</v>
      </c>
      <c r="H18" t="str">
        <f>LEFT(Dataset!A18:A51,2)</f>
        <v>20</v>
      </c>
      <c r="I18" t="str">
        <f t="shared" si="1"/>
        <v>CN</v>
      </c>
      <c r="J18" t="str">
        <f t="shared" si="2"/>
        <v>AG</v>
      </c>
      <c r="N18" s="10"/>
      <c r="O18" s="9"/>
      <c r="P18" s="9"/>
    </row>
    <row r="19" spans="1:16" ht="12.75" x14ac:dyDescent="0.2">
      <c r="A19" s="7" t="s">
        <v>73</v>
      </c>
      <c r="B19" s="7" t="s">
        <v>24</v>
      </c>
      <c r="C19" s="7" t="s">
        <v>74</v>
      </c>
      <c r="D19" s="8">
        <v>980</v>
      </c>
      <c r="E19" s="6" t="str">
        <f t="shared" si="0"/>
        <v>High Price</v>
      </c>
      <c r="F19" s="8">
        <v>10</v>
      </c>
      <c r="G19" s="7" t="s">
        <v>26</v>
      </c>
      <c r="H19" t="str">
        <f>LEFT(Dataset!A19:A52,2)</f>
        <v>27</v>
      </c>
      <c r="I19" t="str">
        <f t="shared" si="1"/>
        <v>IT</v>
      </c>
      <c r="J19" t="str">
        <f t="shared" si="2"/>
        <v>JN</v>
      </c>
      <c r="N19" s="10" t="s">
        <v>122</v>
      </c>
      <c r="O19" s="9" t="s">
        <v>123</v>
      </c>
      <c r="P19" s="9">
        <f>SUMIF(G2:G35,"Electronics",D2:D35)</f>
        <v>8050</v>
      </c>
    </row>
    <row r="20" spans="1:16" ht="12.75" x14ac:dyDescent="0.2">
      <c r="A20" s="2" t="s">
        <v>75</v>
      </c>
      <c r="B20" s="2" t="s">
        <v>76</v>
      </c>
      <c r="C20" s="2" t="s">
        <v>77</v>
      </c>
      <c r="D20" s="6">
        <v>150</v>
      </c>
      <c r="E20" s="6" t="str">
        <f t="shared" si="0"/>
        <v>Standard Price</v>
      </c>
      <c r="F20" s="6">
        <v>15</v>
      </c>
      <c r="G20" s="2" t="s">
        <v>30</v>
      </c>
      <c r="H20" t="str">
        <f>LEFT(Dataset!A20:A53,2)</f>
        <v>01</v>
      </c>
      <c r="I20" t="str">
        <f t="shared" si="1"/>
        <v>UK</v>
      </c>
      <c r="J20" t="str">
        <f t="shared" si="2"/>
        <v>MR</v>
      </c>
      <c r="N20" s="10"/>
      <c r="O20" s="9"/>
      <c r="P20" s="9"/>
    </row>
    <row r="21" spans="1:16" ht="12.75" x14ac:dyDescent="0.2">
      <c r="A21" s="7" t="s">
        <v>78</v>
      </c>
      <c r="B21" s="7" t="s">
        <v>79</v>
      </c>
      <c r="C21" s="7" t="s">
        <v>80</v>
      </c>
      <c r="D21" s="8">
        <v>200</v>
      </c>
      <c r="E21" s="6" t="str">
        <f t="shared" si="0"/>
        <v>Standard Price</v>
      </c>
      <c r="F21" s="8">
        <v>10</v>
      </c>
      <c r="G21" s="7" t="s">
        <v>41</v>
      </c>
      <c r="H21" t="str">
        <f>LEFT(Dataset!A21:A54,2)</f>
        <v>14</v>
      </c>
      <c r="I21" t="str">
        <f t="shared" si="1"/>
        <v>US</v>
      </c>
      <c r="J21" t="str">
        <f t="shared" si="2"/>
        <v>AG</v>
      </c>
      <c r="N21" s="10" t="s">
        <v>124</v>
      </c>
      <c r="O21" s="9" t="s">
        <v>125</v>
      </c>
      <c r="P21" s="9">
        <f>COUNTIF(D2:D35,"&lt;100")</f>
        <v>11</v>
      </c>
    </row>
    <row r="22" spans="1:16" ht="12.75" x14ac:dyDescent="0.2">
      <c r="A22" s="2" t="s">
        <v>81</v>
      </c>
      <c r="B22" s="2" t="s">
        <v>82</v>
      </c>
      <c r="C22" s="2" t="s">
        <v>83</v>
      </c>
      <c r="D22" s="6">
        <v>700</v>
      </c>
      <c r="E22" s="6" t="str">
        <f t="shared" si="0"/>
        <v>High Price</v>
      </c>
      <c r="F22" s="6">
        <v>50</v>
      </c>
      <c r="G22" s="2" t="s">
        <v>26</v>
      </c>
      <c r="H22" t="str">
        <f>LEFT(Dataset!A22:A55,2)</f>
        <v>14</v>
      </c>
      <c r="I22" t="str">
        <f t="shared" si="1"/>
        <v>RU</v>
      </c>
      <c r="J22" t="str">
        <f t="shared" si="2"/>
        <v>MY</v>
      </c>
      <c r="N22" s="10"/>
      <c r="O22" s="9"/>
      <c r="P22" s="9"/>
    </row>
    <row r="23" spans="1:16" ht="12.75" x14ac:dyDescent="0.2">
      <c r="A23" s="7" t="s">
        <v>84</v>
      </c>
      <c r="B23" s="7" t="s">
        <v>85</v>
      </c>
      <c r="C23" s="7" t="s">
        <v>86</v>
      </c>
      <c r="D23" s="8">
        <v>80</v>
      </c>
      <c r="E23" s="6" t="str">
        <f t="shared" si="0"/>
        <v>Standard Price</v>
      </c>
      <c r="F23" s="8">
        <v>20</v>
      </c>
      <c r="G23" s="7" t="s">
        <v>34</v>
      </c>
      <c r="H23" t="str">
        <f>LEFT(Dataset!A23:A56,2)</f>
        <v>09</v>
      </c>
      <c r="I23" t="str">
        <f t="shared" si="1"/>
        <v>CA</v>
      </c>
      <c r="J23" t="str">
        <f t="shared" si="2"/>
        <v>JN</v>
      </c>
      <c r="N23" s="10" t="s">
        <v>13</v>
      </c>
      <c r="O23" s="9"/>
      <c r="P23" s="9"/>
    </row>
    <row r="24" spans="1:16" ht="12.75" x14ac:dyDescent="0.2">
      <c r="A24" s="2" t="s">
        <v>87</v>
      </c>
      <c r="B24" s="2" t="s">
        <v>88</v>
      </c>
      <c r="C24" s="2" t="s">
        <v>89</v>
      </c>
      <c r="D24" s="6">
        <v>150</v>
      </c>
      <c r="E24" s="6" t="str">
        <f t="shared" si="0"/>
        <v>Standard Price</v>
      </c>
      <c r="F24" s="6">
        <v>30</v>
      </c>
      <c r="G24" s="2" t="s">
        <v>26</v>
      </c>
      <c r="H24" t="str">
        <f>LEFT(Dataset!A24:A57,2)</f>
        <v>19</v>
      </c>
      <c r="I24" t="str">
        <f t="shared" si="1"/>
        <v>BR</v>
      </c>
      <c r="J24" t="str">
        <f t="shared" si="2"/>
        <v>JL</v>
      </c>
      <c r="N24" s="10"/>
      <c r="O24" s="9"/>
      <c r="P24" s="9"/>
    </row>
    <row r="25" spans="1:16" ht="12.75" x14ac:dyDescent="0.2">
      <c r="A25" s="7" t="s">
        <v>67</v>
      </c>
      <c r="B25" s="7" t="s">
        <v>68</v>
      </c>
      <c r="C25" s="7" t="s">
        <v>69</v>
      </c>
      <c r="D25" s="8">
        <v>50</v>
      </c>
      <c r="E25" s="6" t="str">
        <f t="shared" si="0"/>
        <v>Standard Price</v>
      </c>
      <c r="F25" s="8">
        <v>35</v>
      </c>
      <c r="G25" s="7" t="s">
        <v>70</v>
      </c>
      <c r="H25" t="str">
        <f>LEFT(Dataset!A25:A58,2)</f>
        <v>21</v>
      </c>
      <c r="I25" t="str">
        <f t="shared" si="1"/>
        <v>CA</v>
      </c>
      <c r="J25" t="str">
        <f t="shared" si="2"/>
        <v>AG</v>
      </c>
      <c r="N25" s="10" t="s">
        <v>129</v>
      </c>
      <c r="O25" s="9" t="s">
        <v>127</v>
      </c>
      <c r="P25" s="9" t="s">
        <v>128</v>
      </c>
    </row>
    <row r="26" spans="1:16" ht="12.75" x14ac:dyDescent="0.2">
      <c r="A26" s="2" t="s">
        <v>90</v>
      </c>
      <c r="B26" s="2" t="s">
        <v>36</v>
      </c>
      <c r="C26" s="2" t="s">
        <v>91</v>
      </c>
      <c r="D26" s="6">
        <v>800</v>
      </c>
      <c r="E26" s="6" t="str">
        <f t="shared" si="0"/>
        <v>High Price</v>
      </c>
      <c r="F26" s="6">
        <v>45</v>
      </c>
      <c r="G26" s="2" t="s">
        <v>26</v>
      </c>
      <c r="H26" t="str">
        <f>LEFT(Dataset!A26:A59,2)</f>
        <v>29</v>
      </c>
      <c r="I26" t="str">
        <f t="shared" si="1"/>
        <v>CA</v>
      </c>
      <c r="J26" t="str">
        <f t="shared" si="2"/>
        <v>SP</v>
      </c>
      <c r="N26" s="10"/>
      <c r="O26" s="9"/>
      <c r="P26" s="9"/>
    </row>
    <row r="27" spans="1:16" ht="12.75" x14ac:dyDescent="0.2">
      <c r="A27" s="7" t="s">
        <v>92</v>
      </c>
      <c r="B27" s="7" t="s">
        <v>76</v>
      </c>
      <c r="C27" s="7" t="s">
        <v>93</v>
      </c>
      <c r="D27" s="8">
        <v>130</v>
      </c>
      <c r="E27" s="6" t="str">
        <f t="shared" si="0"/>
        <v>Standard Price</v>
      </c>
      <c r="F27" s="8">
        <v>25</v>
      </c>
      <c r="G27" s="7" t="s">
        <v>30</v>
      </c>
      <c r="H27" t="str">
        <f>LEFT(Dataset!A27:A60,2)</f>
        <v>03</v>
      </c>
      <c r="I27" t="str">
        <f t="shared" si="1"/>
        <v>CA</v>
      </c>
      <c r="J27" t="str">
        <f t="shared" si="2"/>
        <v>JN</v>
      </c>
      <c r="N27" s="10" t="s">
        <v>130</v>
      </c>
      <c r="O27" s="9" t="s">
        <v>131</v>
      </c>
      <c r="P27" s="9" t="s">
        <v>133</v>
      </c>
    </row>
    <row r="28" spans="1:16" ht="12.75" x14ac:dyDescent="0.2">
      <c r="A28" s="2" t="s">
        <v>94</v>
      </c>
      <c r="B28" s="2" t="s">
        <v>49</v>
      </c>
      <c r="C28" s="2" t="s">
        <v>95</v>
      </c>
      <c r="D28" s="6">
        <v>400</v>
      </c>
      <c r="E28" s="6" t="str">
        <f t="shared" si="0"/>
        <v>Standard Price</v>
      </c>
      <c r="F28" s="6">
        <v>40</v>
      </c>
      <c r="G28" s="2" t="s">
        <v>34</v>
      </c>
      <c r="H28" t="str">
        <f>LEFT(Dataset!A28:A61,2)</f>
        <v>11</v>
      </c>
      <c r="I28" t="str">
        <f t="shared" si="1"/>
        <v>CA</v>
      </c>
      <c r="J28" t="str">
        <f t="shared" si="2"/>
        <v>JL</v>
      </c>
      <c r="N28" s="10"/>
      <c r="O28" s="9"/>
      <c r="P28" s="9"/>
    </row>
    <row r="29" spans="1:16" ht="12.75" x14ac:dyDescent="0.2">
      <c r="A29" s="7" t="s">
        <v>65</v>
      </c>
      <c r="B29" s="7" t="s">
        <v>43</v>
      </c>
      <c r="C29" s="7" t="s">
        <v>66</v>
      </c>
      <c r="D29" s="8">
        <v>230</v>
      </c>
      <c r="E29" s="6" t="str">
        <f t="shared" si="0"/>
        <v>Standard Price</v>
      </c>
      <c r="F29" s="8">
        <v>20</v>
      </c>
      <c r="G29" s="7" t="s">
        <v>26</v>
      </c>
      <c r="H29" t="str">
        <f>LEFT(Dataset!A29:A62,2)</f>
        <v>16</v>
      </c>
      <c r="I29" t="str">
        <f t="shared" si="1"/>
        <v>ES</v>
      </c>
      <c r="J29" t="str">
        <f t="shared" si="2"/>
        <v>AR</v>
      </c>
      <c r="N29" s="10" t="s">
        <v>134</v>
      </c>
      <c r="O29" s="9" t="s">
        <v>136</v>
      </c>
      <c r="P29" s="9" t="s">
        <v>137</v>
      </c>
    </row>
    <row r="30" spans="1:16" ht="12.75" x14ac:dyDescent="0.2">
      <c r="A30" s="2" t="s">
        <v>96</v>
      </c>
      <c r="B30" s="2" t="s">
        <v>97</v>
      </c>
      <c r="C30" s="2" t="s">
        <v>98</v>
      </c>
      <c r="D30" s="6">
        <v>60</v>
      </c>
      <c r="E30" s="6" t="str">
        <f t="shared" si="0"/>
        <v>Standard Price</v>
      </c>
      <c r="F30" s="6">
        <v>30</v>
      </c>
      <c r="G30" s="2" t="s">
        <v>30</v>
      </c>
      <c r="H30" t="str">
        <f>LEFT(Dataset!A30:A63,2)</f>
        <v>07</v>
      </c>
      <c r="I30" t="str">
        <f t="shared" si="1"/>
        <v>CA</v>
      </c>
      <c r="J30" t="str">
        <f t="shared" si="2"/>
        <v>MR</v>
      </c>
    </row>
    <row r="31" spans="1:16" ht="12.75" x14ac:dyDescent="0.2">
      <c r="A31" s="7" t="s">
        <v>99</v>
      </c>
      <c r="B31" s="7" t="s">
        <v>100</v>
      </c>
      <c r="C31" s="7" t="s">
        <v>101</v>
      </c>
      <c r="D31" s="8">
        <v>40</v>
      </c>
      <c r="E31" s="6" t="str">
        <f t="shared" si="0"/>
        <v>Standard Price</v>
      </c>
      <c r="F31" s="8">
        <v>10</v>
      </c>
      <c r="G31" s="7" t="s">
        <v>34</v>
      </c>
      <c r="H31" t="str">
        <f>LEFT(Dataset!A31:A64,2)</f>
        <v>13</v>
      </c>
      <c r="I31" t="str">
        <f t="shared" si="1"/>
        <v>CA</v>
      </c>
      <c r="J31" t="str">
        <f t="shared" si="2"/>
        <v>AR</v>
      </c>
    </row>
    <row r="32" spans="1:16" ht="12.75" x14ac:dyDescent="0.2">
      <c r="A32" s="2" t="s">
        <v>102</v>
      </c>
      <c r="B32" s="2" t="s">
        <v>88</v>
      </c>
      <c r="C32" s="2" t="s">
        <v>103</v>
      </c>
      <c r="D32" s="6">
        <v>130</v>
      </c>
      <c r="E32" s="6" t="str">
        <f t="shared" si="0"/>
        <v>Standard Price</v>
      </c>
      <c r="F32" s="6">
        <v>5</v>
      </c>
      <c r="G32" s="2" t="s">
        <v>26</v>
      </c>
      <c r="H32" t="str">
        <f>LEFT(Dataset!A32:A65,2)</f>
        <v>24</v>
      </c>
      <c r="I32" t="str">
        <f t="shared" si="1"/>
        <v>CA</v>
      </c>
      <c r="J32" t="str">
        <f t="shared" si="2"/>
        <v>MY</v>
      </c>
    </row>
    <row r="33" spans="1:10" ht="12.75" x14ac:dyDescent="0.2">
      <c r="A33" s="7" t="s">
        <v>104</v>
      </c>
      <c r="B33" s="7" t="s">
        <v>105</v>
      </c>
      <c r="C33" s="7" t="s">
        <v>106</v>
      </c>
      <c r="D33" s="8">
        <v>50</v>
      </c>
      <c r="E33" s="6" t="str">
        <f t="shared" si="0"/>
        <v>Standard Price</v>
      </c>
      <c r="F33" s="8">
        <v>50</v>
      </c>
      <c r="G33" s="7" t="s">
        <v>30</v>
      </c>
      <c r="H33" t="str">
        <f>LEFT(Dataset!A33:A66,2)</f>
        <v>02</v>
      </c>
      <c r="I33" t="str">
        <f t="shared" si="1"/>
        <v>CA</v>
      </c>
      <c r="J33" t="str">
        <f t="shared" si="2"/>
        <v>DC</v>
      </c>
    </row>
    <row r="34" spans="1:10" ht="12.75" x14ac:dyDescent="0.2">
      <c r="A34" s="2" t="s">
        <v>57</v>
      </c>
      <c r="B34" s="2" t="s">
        <v>24</v>
      </c>
      <c r="C34" s="2" t="s">
        <v>58</v>
      </c>
      <c r="D34" s="6">
        <v>950</v>
      </c>
      <c r="E34" s="6" t="str">
        <f t="shared" si="0"/>
        <v>High Price</v>
      </c>
      <c r="F34" s="6">
        <v>25</v>
      </c>
      <c r="G34" s="2" t="s">
        <v>26</v>
      </c>
      <c r="H34" t="str">
        <f>LEFT(Dataset!A34:A67,2)</f>
        <v>17</v>
      </c>
      <c r="I34" t="str">
        <f t="shared" si="1"/>
        <v>IN</v>
      </c>
      <c r="J34" t="str">
        <f t="shared" si="2"/>
        <v>JN</v>
      </c>
    </row>
    <row r="35" spans="1:10" ht="12.75" x14ac:dyDescent="0.2">
      <c r="A35" s="7" t="s">
        <v>107</v>
      </c>
      <c r="B35" s="7" t="s">
        <v>108</v>
      </c>
      <c r="C35" s="7" t="s">
        <v>109</v>
      </c>
      <c r="D35" s="8">
        <v>100</v>
      </c>
      <c r="E35" s="6" t="str">
        <f t="shared" si="0"/>
        <v>Standard Price</v>
      </c>
      <c r="F35" s="8">
        <v>20</v>
      </c>
      <c r="G35" s="7" t="s">
        <v>70</v>
      </c>
      <c r="H35" t="str">
        <f>LEFT(Dataset!A35:A68,2)</f>
        <v>09</v>
      </c>
      <c r="I35" t="str">
        <f t="shared" si="1"/>
        <v>FR</v>
      </c>
      <c r="J35" t="str">
        <f t="shared" si="2"/>
        <v>JL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2026-06-27T05:28:32Z</dcterms:modified>
</cp:coreProperties>
</file>